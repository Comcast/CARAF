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vkonda953/Desktop/PQBench/"/>
    </mc:Choice>
  </mc:AlternateContent>
  <xr:revisionPtr revIDLastSave="0" documentId="13_ncr:1_{08284F77-8874-4142-BACF-AE19FEE9F6D9}" xr6:coauthVersionLast="47" xr6:coauthVersionMax="47" xr10:uidLastSave="{00000000-0000-0000-0000-000000000000}"/>
  <bookViews>
    <workbookView xWindow="21600" yWindow="600" windowWidth="19220" windowHeight="18980" xr2:uid="{33BA317C-AAB3-4544-954B-0CAA649051A8}"/>
  </bookViews>
  <sheets>
    <sheet name="Assets" sheetId="2" r:id="rId1"/>
    <sheet name="Reference" sheetId="5" state="hidden" r:id="rId2"/>
    <sheet name="Template" sheetId="6" r:id="rId3"/>
  </sheets>
  <functionGroups builtInGroupCount="19"/>
  <definedNames>
    <definedName name="MetricList">Reference!$B$1:$T$1</definedName>
    <definedName name="SubcatMatrix">Reference!$B$2:$T$20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47" i="6" l="1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</calcChain>
</file>

<file path=xl/sharedStrings.xml><?xml version="1.0" encoding="utf-8"?>
<sst xmlns="http://schemas.openxmlformats.org/spreadsheetml/2006/main" count="149" uniqueCount="79">
  <si>
    <t>Asset Name:</t>
  </si>
  <si>
    <t>Platform:</t>
  </si>
  <si>
    <t>Ubuntu</t>
  </si>
  <si>
    <t>Asset Name</t>
  </si>
  <si>
    <t>Smart Thermostat (IoT)</t>
  </si>
  <si>
    <t>TLS Termination Server</t>
  </si>
  <si>
    <t>HSM Appliance</t>
  </si>
  <si>
    <t>Mark each applicable subcategory as Yes. Leave the rest as No. You may fill 1 category or multiple categories.</t>
  </si>
  <si>
    <t>Category</t>
  </si>
  <si>
    <t>Subcategory</t>
  </si>
  <si>
    <t>Applies?</t>
  </si>
  <si>
    <t>What it means (to help you decide)</t>
  </si>
  <si>
    <t>Energy Constraints</t>
  </si>
  <si>
    <t>Very High Energy Constraints</t>
  </si>
  <si>
    <t>No</t>
  </si>
  <si>
    <t>Energy-harvesting or ultra-low power; tiny energy budget. E.g., environmental sensors, solar wearables</t>
  </si>
  <si>
    <t>High Energy Constraints</t>
  </si>
  <si>
    <t>Slightly higher use, still efficient by design. E.g., smart bulbs, fitness trackers</t>
  </si>
  <si>
    <t>Moderate Energy Constraints</t>
  </si>
  <si>
    <t>Balances power and performance; limited local processing. E.g., gateways, edge devices</t>
  </si>
  <si>
    <t>Low Energy Constraints</t>
  </si>
  <si>
    <t>Handles intensive processing / large workloads. E.g., local servers, heavy edge devices</t>
  </si>
  <si>
    <t>Minimal Energy Constraints</t>
  </si>
  <si>
    <t>Extensive compute and storage, minimal constraints. E.g., cloud, data centers</t>
  </si>
  <si>
    <t>Network Performance</t>
  </si>
  <si>
    <t>Low Latency Use Cases</t>
  </si>
  <si>
    <t>Minimizes delay for real-time responsiveness. E.g., gaming, video conferencing, autonomous vehicles</t>
  </si>
  <si>
    <t>Moderate Latency Use Cases</t>
  </si>
  <si>
    <t>Optimized for both latency and data handling. E.g., smart home hubs, industrial IoT gateways</t>
  </si>
  <si>
    <t>High Latency Use Cases</t>
  </si>
  <si>
    <t>Delay-tolerant, non-real-time. E.g., environmental sensors, some wearables</t>
  </si>
  <si>
    <t>High Throughput Use Cases</t>
  </si>
  <si>
    <t>Fast transfer of large data volumes. E.g., streaming, backup, large file transfer</t>
  </si>
  <si>
    <t>Moderate Throughput Use Cases</t>
  </si>
  <si>
    <t>Steady data flow for typical apps. E.g., consumer wearables, health monitors</t>
  </si>
  <si>
    <t>Low Throughput Use Cases</t>
  </si>
  <si>
    <t>Minimal data needs, low bandwidth. E.g., simple sensors, RFID tags</t>
  </si>
  <si>
    <t>Computational Resources</t>
  </si>
  <si>
    <t>High Computational Power</t>
  </si>
  <si>
    <t>Complex, intensive workloads. E.g., servers, HPC systems</t>
  </si>
  <si>
    <t>Moderate Computational Power</t>
  </si>
  <si>
    <t>Balanced performance for general tasks. E.g., laptops, smart home hubs</t>
  </si>
  <si>
    <t>Low Computational Power</t>
  </si>
  <si>
    <t>Basic processing for simple functions. E.g., basic sensors, simple IoT devices</t>
  </si>
  <si>
    <t>Security Requirements</t>
  </si>
  <si>
    <t>High Security Use Cases</t>
  </si>
  <si>
    <t>Protects critical, sensitive data. E.g., financial, healthcare, government</t>
  </si>
  <si>
    <t>Moderate Security Use Cases</t>
  </si>
  <si>
    <t>Balanced protection and performance. E.g., smart home, consumer electronics</t>
  </si>
  <si>
    <t>Minimum Security Use Cases</t>
  </si>
  <si>
    <t>Low-risk, non-sensitive. E.g., environmental sensors, public IoT</t>
  </si>
  <si>
    <t>Cryptographic Implementation Method</t>
  </si>
  <si>
    <t>Hardware-Based Cryptographic Use Cases</t>
  </si>
  <si>
    <t>Dedicated hardware for speed/security. E.g., HSMs, accelerators, FPGA</t>
  </si>
  <si>
    <t>Software-Based Cryptographic Use Cases</t>
  </si>
  <si>
    <t>Flexible, platform-wide encryption. E.g., OpenSSL, software on general CPUs</t>
  </si>
  <si>
    <t>Subcategory \ Metric</t>
  </si>
  <si>
    <t>Throughput</t>
  </si>
  <si>
    <t>Latency</t>
  </si>
  <si>
    <t>Packet Loss</t>
  </si>
  <si>
    <t>Jitter</t>
  </si>
  <si>
    <t>Interoperability</t>
  </si>
  <si>
    <t>Scalability</t>
  </si>
  <si>
    <t>Overall Performance</t>
  </si>
  <si>
    <t>Key Generation Time</t>
  </si>
  <si>
    <t>Signature Generation Time</t>
  </si>
  <si>
    <t>Verification Time</t>
  </si>
  <si>
    <t>Shared Key Derivation Time</t>
  </si>
  <si>
    <t>Encryption Time</t>
  </si>
  <si>
    <t>Decryption Time</t>
  </si>
  <si>
    <t>Key Size</t>
  </si>
  <si>
    <t>Signature Size</t>
  </si>
  <si>
    <t>Memory Consumption</t>
  </si>
  <si>
    <t>Energy Efficiency</t>
  </si>
  <si>
    <t>Certificate Throughput</t>
  </si>
  <si>
    <t>TLS Throughput</t>
  </si>
  <si>
    <t>FINAL SELECTED METRICS  (computed automatically from your Yes answers — the union)</t>
  </si>
  <si>
    <t>Metric</t>
  </si>
  <si>
    <t>Selected?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</si>
</sst>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b/>
      <sz val="11"/>
      <color rgb="FFFFFFFF"/>
      <name val="Aptos Narrow"/>
    </font>
    <font>
      <sz val="12"/>
      <color rgb="FF000000"/>
      <name val="Aptos Narrow"/>
    </font>
    <font>
      <sz val="11"/>
      <color theme="1"/>
      <name val="Aptos Narrow"/>
      <family val="2"/>
      <scheme val="minor"/>
    </font>
    <font>
      <b/>
      <sz val="12"/>
      <color rgb="FF000000"/>
      <name val="Aptos Narrow (Body)"/>
    </font>
    <font>
      <sz val="12"/>
      <color theme="1"/>
      <name val="Aptos Narrow (Body)"/>
    </font>
    <font>
      <sz val="12"/>
      <color rgb="FF000000"/>
      <name val="Aptos Narrow (Body)"/>
    </font>
    <font>
      <sz val="12"/>
      <color rgb="FF595959"/>
      <name val="Aptos Narrow (Body)"/>
    </font>
    <font>
      <b/>
      <sz val="12"/>
      <color rgb="FFFFFFFF"/>
      <name val="Aptos Narrow (Body)"/>
    </font>
    <font>
      <b/>
      <sz val="12"/>
      <color rgb="FF2F5496"/>
      <name val="Aptos Narrow (Body)"/>
    </font>
  </fonts>
  <fills count="5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FFF2CC"/>
      </patternFill>
    </fill>
    <fill>
      <patternFill patternType="solid">
        <fgColor rgb="FFD6E4BC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0" fontId="1" fillId="2" borderId="0" xfId="0" applyFont="1" applyFill="1"/>
    <xf numFmtId="0" fontId="4" fillId="0" borderId="0" xfId="1" applyFont="1"/>
    <xf numFmtId="0" fontId="5" fillId="0" borderId="0" xfId="1" applyFont="1"/>
    <xf numFmtId="0" fontId="6" fillId="3" borderId="1" xfId="1" applyFont="1" applyFill="1" applyBorder="1"/>
    <xf numFmtId="0" fontId="7" fillId="0" borderId="0" xfId="1" applyFont="1"/>
    <xf numFmtId="0" fontId="8" fillId="2" borderId="1" xfId="1" applyFont="1" applyFill="1" applyBorder="1" applyAlignment="1">
      <alignment horizontal="center" vertical="center" wrapText="1"/>
    </xf>
    <xf numFmtId="0" fontId="6" fillId="0" borderId="1" xfId="1" applyFont="1" applyBorder="1" applyAlignment="1">
      <alignment vertical="top" wrapText="1"/>
    </xf>
    <xf numFmtId="0" fontId="6" fillId="3" borderId="1" xfId="1" applyFont="1" applyFill="1" applyBorder="1" applyAlignment="1">
      <alignment horizontal="center" vertical="center"/>
    </xf>
    <xf numFmtId="0" fontId="9" fillId="0" borderId="0" xfId="1" applyFont="1"/>
    <xf numFmtId="0" fontId="8" fillId="2" borderId="1" xfId="1" applyFont="1" applyFill="1" applyBorder="1" applyAlignment="1">
      <alignment horizontal="center" vertical="center"/>
    </xf>
    <xf numFmtId="0" fontId="6" fillId="0" borderId="1" xfId="1" applyFont="1" applyBorder="1"/>
    <xf numFmtId="0" fontId="6" fillId="0" borderId="1" xfId="1" applyFont="1" applyBorder="1" applyAlignment="1">
      <alignment horizontal="center" vertical="center"/>
    </xf>
    <xf numFmtId="0" fontId="8" fillId="2" borderId="0" xfId="1" applyFont="1" applyFill="1"/>
    <xf numFmtId="0" fontId="8" fillId="2" borderId="0" xfId="1" applyFont="1" applyFill="1" applyAlignment="1">
      <alignment horizontal="center" vertical="center" wrapText="1"/>
    </xf>
    <xf numFmtId="0" fontId="6" fillId="0" borderId="0" xfId="1" applyFont="1"/>
    <xf numFmtId="0" fontId="6" fillId="0" borderId="0" xfId="1" applyFont="1" applyAlignment="1">
      <alignment horizontal="center" vertical="center"/>
    </xf>
    <xf numFmtId="0" fontId="6" fillId="4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FB52C3E7-1BF7-C845-BB64-773103F5D407}"/>
  </cellStyles>
  <dxfs count="1">
    <dxf>
      <fill>
        <patternFill patternType="solid">
          <f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368300</xdr:colOff>
          <xdr:row>1</xdr:row>
          <xdr:rowOff>63500</xdr:rowOff>
        </xdr:from>
        <xdr:to>
          <xdr:col>4</xdr:col>
          <xdr:colOff>812800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Create Asset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4</xdr:row>
          <xdr:rowOff>25400</xdr:rowOff>
        </xdr:from>
        <xdr:to>
          <xdr:col>5</xdr:col>
          <xdr:colOff>12700</xdr:colOff>
          <xdr:row>6</xdr:row>
          <xdr:rowOff>0</xdr:rowOff>
        </xdr:to>
        <xdr:sp macro="" textlink="">
          <xdr:nvSpPr>
            <xdr:cNvPr id="2050" name="Button 2" descr="Refresh Derivation Tabl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 Derivation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7</xdr:row>
          <xdr:rowOff>63500</xdr:rowOff>
        </xdr:from>
        <xdr:to>
          <xdr:col>5</xdr:col>
          <xdr:colOff>38100</xdr:colOff>
          <xdr:row>9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16413-B8FC-3849-99A0-027538E5B28A}">
  <sheetPr codeName="Sheet1"/>
  <dimension ref="A1:A4"/>
  <sheetViews>
    <sheetView tabSelected="1" workbookViewId="0">
      <selection activeCell="G9" sqref="G9"/>
    </sheetView>
  </sheetViews>
  <sheetFormatPr baseColWidth="10" defaultRowHeight="16" x14ac:dyDescent="0.2"/>
  <cols>
    <col min="1" max="1" width="19.6640625" bestFit="1" customWidth="1"/>
  </cols>
  <sheetData>
    <row r="1" spans="1:1" x14ac:dyDescent="0.2">
      <c r="A1" s="1" t="s">
        <v>3</v>
      </c>
    </row>
    <row r="2" spans="1:1" x14ac:dyDescent="0.2">
      <c r="A2" t="s">
        <v>4</v>
      </c>
    </row>
    <row r="3" spans="1:1" x14ac:dyDescent="0.2">
      <c r="A3" t="s">
        <v>5</v>
      </c>
    </row>
    <row r="4" spans="1:1" x14ac:dyDescent="0.2">
      <c r="A4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AssetSheets">
                <anchor moveWithCells="1" sizeWithCells="1">
                  <from>
                    <xdr:col>2</xdr:col>
                    <xdr:colOff>368300</xdr:colOff>
                    <xdr:row>1</xdr:row>
                    <xdr:rowOff>63500</xdr:rowOff>
                  </from>
                  <to>
                    <xdr:col>4</xdr:col>
                    <xdr:colOff>812800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ildSubsetTables" altText="Refresh Derivation Tables">
                <anchor moveWithCells="1" sizeWithCells="1">
                  <from>
                    <xdr:col>2</xdr:col>
                    <xdr:colOff>381000</xdr:colOff>
                    <xdr:row>4</xdr:row>
                    <xdr:rowOff>25400</xdr:rowOff>
                  </from>
                  <to>
                    <xdr:col>5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portPQLabJSON">
                <anchor moveWithCells="1" sizeWithCells="1">
                  <from>
                    <xdr:col>2</xdr:col>
                    <xdr:colOff>419100</xdr:colOff>
                    <xdr:row>7</xdr:row>
                    <xdr:rowOff>63500</xdr:rowOff>
                  </from>
                  <to>
                    <xdr:col>5</xdr:col>
                    <xdr:colOff>38100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D5F92-AB8B-FF49-A5AD-BA34FA11B52C}">
  <sheetPr codeName="Sheet2"/>
  <dimension ref="A1:T20"/>
  <sheetViews>
    <sheetView showGridLines="0" workbookViewId="0">
      <selection activeCell="G27" sqref="G27"/>
    </sheetView>
  </sheetViews>
  <sheetFormatPr baseColWidth="10" defaultColWidth="8.83203125" defaultRowHeight="16" x14ac:dyDescent="0.2"/>
  <cols>
    <col min="1" max="1" width="34" style="3" customWidth="1"/>
    <col min="2" max="20" width="6.5" style="3" customWidth="1"/>
    <col min="21" max="16384" width="8.83203125" style="3"/>
  </cols>
  <sheetData>
    <row r="1" spans="1:20" ht="58" customHeight="1" x14ac:dyDescent="0.2">
      <c r="A1" s="13" t="s">
        <v>56</v>
      </c>
      <c r="B1" s="14" t="s">
        <v>57</v>
      </c>
      <c r="C1" s="14" t="s">
        <v>58</v>
      </c>
      <c r="D1" s="14" t="s">
        <v>59</v>
      </c>
      <c r="E1" s="14" t="s">
        <v>60</v>
      </c>
      <c r="F1" s="14" t="s">
        <v>61</v>
      </c>
      <c r="G1" s="14" t="s">
        <v>62</v>
      </c>
      <c r="H1" s="14" t="s">
        <v>63</v>
      </c>
      <c r="I1" s="14" t="s">
        <v>64</v>
      </c>
      <c r="J1" s="14" t="s">
        <v>65</v>
      </c>
      <c r="K1" s="14" t="s">
        <v>66</v>
      </c>
      <c r="L1" s="14" t="s">
        <v>67</v>
      </c>
      <c r="M1" s="14" t="s">
        <v>68</v>
      </c>
      <c r="N1" s="14" t="s">
        <v>69</v>
      </c>
      <c r="O1" s="14" t="s">
        <v>70</v>
      </c>
      <c r="P1" s="14" t="s">
        <v>71</v>
      </c>
      <c r="Q1" s="14" t="s">
        <v>72</v>
      </c>
      <c r="R1" s="14" t="s">
        <v>73</v>
      </c>
      <c r="S1" s="14" t="s">
        <v>74</v>
      </c>
      <c r="T1" s="14" t="s">
        <v>75</v>
      </c>
    </row>
    <row r="2" spans="1:20" x14ac:dyDescent="0.2">
      <c r="A2" s="15" t="s">
        <v>13</v>
      </c>
      <c r="B2" s="16">
        <v>0</v>
      </c>
      <c r="C2" s="16">
        <v>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0</v>
      </c>
      <c r="M2" s="16">
        <v>0</v>
      </c>
      <c r="N2" s="16">
        <v>0</v>
      </c>
      <c r="O2" s="16">
        <v>0</v>
      </c>
      <c r="P2" s="16">
        <v>0</v>
      </c>
      <c r="Q2" s="16">
        <v>0</v>
      </c>
      <c r="R2" s="17">
        <v>1</v>
      </c>
      <c r="S2" s="16">
        <v>0</v>
      </c>
      <c r="T2" s="16">
        <v>0</v>
      </c>
    </row>
    <row r="3" spans="1:20" x14ac:dyDescent="0.2">
      <c r="A3" s="15" t="s">
        <v>16</v>
      </c>
      <c r="B3" s="17">
        <v>1</v>
      </c>
      <c r="C3" s="17">
        <v>1</v>
      </c>
      <c r="D3" s="17">
        <v>1</v>
      </c>
      <c r="E3" s="17">
        <v>1</v>
      </c>
      <c r="F3" s="17">
        <v>1</v>
      </c>
      <c r="G3" s="17">
        <v>1</v>
      </c>
      <c r="H3" s="17">
        <v>1</v>
      </c>
      <c r="I3" s="17">
        <v>1</v>
      </c>
      <c r="J3" s="17">
        <v>1</v>
      </c>
      <c r="K3" s="17">
        <v>1</v>
      </c>
      <c r="L3" s="17">
        <v>1</v>
      </c>
      <c r="M3" s="17">
        <v>1</v>
      </c>
      <c r="N3" s="17">
        <v>1</v>
      </c>
      <c r="O3" s="17">
        <v>1</v>
      </c>
      <c r="P3" s="17">
        <v>1</v>
      </c>
      <c r="Q3" s="17">
        <v>1</v>
      </c>
      <c r="R3" s="17">
        <v>1</v>
      </c>
      <c r="S3" s="17">
        <v>1</v>
      </c>
      <c r="T3" s="17">
        <v>1</v>
      </c>
    </row>
    <row r="4" spans="1:20" x14ac:dyDescent="0.2">
      <c r="A4" s="15" t="s">
        <v>18</v>
      </c>
      <c r="B4" s="17">
        <v>1</v>
      </c>
      <c r="C4" s="17">
        <v>1</v>
      </c>
      <c r="D4" s="17">
        <v>1</v>
      </c>
      <c r="E4" s="17">
        <v>1</v>
      </c>
      <c r="F4" s="17">
        <v>1</v>
      </c>
      <c r="G4" s="17">
        <v>1</v>
      </c>
      <c r="H4" s="17">
        <v>1</v>
      </c>
      <c r="I4" s="17">
        <v>1</v>
      </c>
      <c r="J4" s="17">
        <v>1</v>
      </c>
      <c r="K4" s="17">
        <v>1</v>
      </c>
      <c r="L4" s="17">
        <v>1</v>
      </c>
      <c r="M4" s="17">
        <v>1</v>
      </c>
      <c r="N4" s="17">
        <v>1</v>
      </c>
      <c r="O4" s="17">
        <v>1</v>
      </c>
      <c r="P4" s="17">
        <v>1</v>
      </c>
      <c r="Q4" s="17">
        <v>1</v>
      </c>
      <c r="R4" s="17">
        <v>1</v>
      </c>
      <c r="S4" s="17">
        <v>1</v>
      </c>
      <c r="T4" s="17">
        <v>1</v>
      </c>
    </row>
    <row r="5" spans="1:20" x14ac:dyDescent="0.2">
      <c r="A5" s="15" t="s">
        <v>20</v>
      </c>
      <c r="B5" s="17">
        <v>1</v>
      </c>
      <c r="C5" s="16">
        <v>0</v>
      </c>
      <c r="D5" s="16">
        <v>0</v>
      </c>
      <c r="E5" s="16">
        <v>0</v>
      </c>
      <c r="F5" s="17">
        <v>1</v>
      </c>
      <c r="G5" s="17">
        <v>1</v>
      </c>
      <c r="H5" s="17">
        <v>1</v>
      </c>
      <c r="I5" s="17">
        <v>1</v>
      </c>
      <c r="J5" s="17">
        <v>1</v>
      </c>
      <c r="K5" s="17">
        <v>1</v>
      </c>
      <c r="L5" s="17">
        <v>1</v>
      </c>
      <c r="M5" s="17">
        <v>1</v>
      </c>
      <c r="N5" s="17">
        <v>1</v>
      </c>
      <c r="O5" s="17">
        <v>1</v>
      </c>
      <c r="P5" s="17">
        <v>1</v>
      </c>
      <c r="Q5" s="17">
        <v>1</v>
      </c>
      <c r="R5" s="17">
        <v>1</v>
      </c>
      <c r="S5" s="17">
        <v>1</v>
      </c>
      <c r="T5" s="17">
        <v>1</v>
      </c>
    </row>
    <row r="6" spans="1:20" x14ac:dyDescent="0.2">
      <c r="A6" s="15" t="s">
        <v>22</v>
      </c>
      <c r="B6" s="17">
        <v>1</v>
      </c>
      <c r="C6" s="17">
        <v>1</v>
      </c>
      <c r="D6" s="16">
        <v>0</v>
      </c>
      <c r="E6" s="16">
        <v>0</v>
      </c>
      <c r="F6" s="17">
        <v>1</v>
      </c>
      <c r="G6" s="17">
        <v>1</v>
      </c>
      <c r="H6" s="17">
        <v>1</v>
      </c>
      <c r="I6" s="17">
        <v>1</v>
      </c>
      <c r="J6" s="17">
        <v>1</v>
      </c>
      <c r="K6" s="17">
        <v>1</v>
      </c>
      <c r="L6" s="17">
        <v>1</v>
      </c>
      <c r="M6" s="17">
        <v>1</v>
      </c>
      <c r="N6" s="17">
        <v>1</v>
      </c>
      <c r="O6" s="17">
        <v>1</v>
      </c>
      <c r="P6" s="17">
        <v>1</v>
      </c>
      <c r="Q6" s="17">
        <v>1</v>
      </c>
      <c r="R6" s="16">
        <v>0</v>
      </c>
      <c r="S6" s="17">
        <v>1</v>
      </c>
      <c r="T6" s="17">
        <v>1</v>
      </c>
    </row>
    <row r="7" spans="1:20" x14ac:dyDescent="0.2">
      <c r="A7" s="15" t="s">
        <v>25</v>
      </c>
      <c r="B7" s="16">
        <v>0</v>
      </c>
      <c r="C7" s="17">
        <v>1</v>
      </c>
      <c r="D7" s="17">
        <v>1</v>
      </c>
      <c r="E7" s="17">
        <v>1</v>
      </c>
      <c r="F7" s="17">
        <v>1</v>
      </c>
      <c r="G7" s="17">
        <v>1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</row>
    <row r="8" spans="1:20" x14ac:dyDescent="0.2">
      <c r="A8" s="15" t="s">
        <v>27</v>
      </c>
      <c r="B8" s="16">
        <v>0</v>
      </c>
      <c r="C8" s="17">
        <v>1</v>
      </c>
      <c r="D8" s="17">
        <v>1</v>
      </c>
      <c r="E8" s="17">
        <v>1</v>
      </c>
      <c r="F8" s="17">
        <v>1</v>
      </c>
      <c r="G8" s="17">
        <v>1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</row>
    <row r="9" spans="1:20" x14ac:dyDescent="0.2">
      <c r="A9" s="15" t="s">
        <v>29</v>
      </c>
      <c r="B9" s="16">
        <v>0</v>
      </c>
      <c r="C9" s="16">
        <v>0</v>
      </c>
      <c r="D9" s="16">
        <v>0</v>
      </c>
      <c r="E9" s="16">
        <v>0</v>
      </c>
      <c r="F9" s="17">
        <v>1</v>
      </c>
      <c r="G9" s="17">
        <v>1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</row>
    <row r="10" spans="1:20" x14ac:dyDescent="0.2">
      <c r="A10" s="15" t="s">
        <v>31</v>
      </c>
      <c r="B10" s="17">
        <v>1</v>
      </c>
      <c r="C10" s="16">
        <v>0</v>
      </c>
      <c r="D10" s="17">
        <v>1</v>
      </c>
      <c r="E10" s="17">
        <v>1</v>
      </c>
      <c r="F10" s="17">
        <v>1</v>
      </c>
      <c r="G10" s="17">
        <v>1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</row>
    <row r="11" spans="1:20" x14ac:dyDescent="0.2">
      <c r="A11" s="15" t="s">
        <v>33</v>
      </c>
      <c r="B11" s="17">
        <v>1</v>
      </c>
      <c r="C11" s="16">
        <v>0</v>
      </c>
      <c r="D11" s="17">
        <v>1</v>
      </c>
      <c r="E11" s="17">
        <v>1</v>
      </c>
      <c r="F11" s="17">
        <v>1</v>
      </c>
      <c r="G11" s="17">
        <v>1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</row>
    <row r="12" spans="1:20" x14ac:dyDescent="0.2">
      <c r="A12" s="15" t="s">
        <v>35</v>
      </c>
      <c r="B12" s="16">
        <v>0</v>
      </c>
      <c r="C12" s="16">
        <v>0</v>
      </c>
      <c r="D12" s="16">
        <v>0</v>
      </c>
      <c r="E12" s="16">
        <v>0</v>
      </c>
      <c r="F12" s="17">
        <v>1</v>
      </c>
      <c r="G12" s="17">
        <v>1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</row>
    <row r="13" spans="1:20" x14ac:dyDescent="0.2">
      <c r="A13" s="15" t="s">
        <v>38</v>
      </c>
      <c r="B13" s="17">
        <v>1</v>
      </c>
      <c r="C13" s="17">
        <v>1</v>
      </c>
      <c r="D13" s="17">
        <v>1</v>
      </c>
      <c r="E13" s="17">
        <v>1</v>
      </c>
      <c r="F13" s="17">
        <v>1</v>
      </c>
      <c r="G13" s="17">
        <v>1</v>
      </c>
      <c r="H13" s="17">
        <v>1</v>
      </c>
      <c r="I13" s="17">
        <v>1</v>
      </c>
      <c r="J13" s="17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>
        <v>1</v>
      </c>
    </row>
    <row r="14" spans="1:20" x14ac:dyDescent="0.2">
      <c r="A14" s="15" t="s">
        <v>40</v>
      </c>
      <c r="B14" s="17">
        <v>1</v>
      </c>
      <c r="C14" s="17">
        <v>1</v>
      </c>
      <c r="D14" s="17">
        <v>1</v>
      </c>
      <c r="E14" s="17">
        <v>1</v>
      </c>
      <c r="F14" s="17">
        <v>1</v>
      </c>
      <c r="G14" s="17">
        <v>1</v>
      </c>
      <c r="H14" s="17">
        <v>1</v>
      </c>
      <c r="I14" s="17">
        <v>1</v>
      </c>
      <c r="J14" s="17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>
        <v>1</v>
      </c>
    </row>
    <row r="15" spans="1:20" x14ac:dyDescent="0.2">
      <c r="A15" s="15" t="s">
        <v>42</v>
      </c>
      <c r="B15" s="17">
        <v>1</v>
      </c>
      <c r="C15" s="17">
        <v>1</v>
      </c>
      <c r="D15" s="17">
        <v>1</v>
      </c>
      <c r="E15" s="17">
        <v>1</v>
      </c>
      <c r="F15" s="17">
        <v>1</v>
      </c>
      <c r="G15" s="17">
        <v>1</v>
      </c>
      <c r="H15" s="17">
        <v>1</v>
      </c>
      <c r="I15" s="17">
        <v>1</v>
      </c>
      <c r="J15" s="17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>
        <v>1</v>
      </c>
    </row>
    <row r="16" spans="1:20" x14ac:dyDescent="0.2">
      <c r="A16" s="15" t="s">
        <v>45</v>
      </c>
      <c r="B16" s="16">
        <v>0</v>
      </c>
      <c r="C16" s="16">
        <v>0</v>
      </c>
      <c r="D16" s="16">
        <v>0</v>
      </c>
      <c r="E16" s="16">
        <v>0</v>
      </c>
      <c r="F16" s="17">
        <v>1</v>
      </c>
      <c r="G16" s="17">
        <v>1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</row>
    <row r="17" spans="1:20" x14ac:dyDescent="0.2">
      <c r="A17" s="15" t="s">
        <v>47</v>
      </c>
      <c r="B17" s="16">
        <v>0</v>
      </c>
      <c r="C17" s="16">
        <v>0</v>
      </c>
      <c r="D17" s="16">
        <v>0</v>
      </c>
      <c r="E17" s="16">
        <v>0</v>
      </c>
      <c r="F17" s="17">
        <v>1</v>
      </c>
      <c r="G17" s="17">
        <v>1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</row>
    <row r="18" spans="1:20" x14ac:dyDescent="0.2">
      <c r="A18" s="15" t="s">
        <v>49</v>
      </c>
      <c r="B18" s="17">
        <v>1</v>
      </c>
      <c r="C18" s="17">
        <v>1</v>
      </c>
      <c r="D18" s="16">
        <v>0</v>
      </c>
      <c r="E18" s="16">
        <v>0</v>
      </c>
      <c r="F18" s="17">
        <v>1</v>
      </c>
      <c r="G18" s="17">
        <v>1</v>
      </c>
      <c r="H18" s="17">
        <v>1</v>
      </c>
      <c r="I18" s="17">
        <v>1</v>
      </c>
      <c r="J18" s="17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>
        <v>1</v>
      </c>
    </row>
    <row r="19" spans="1:20" x14ac:dyDescent="0.2">
      <c r="A19" s="15" t="s">
        <v>52</v>
      </c>
      <c r="B19" s="17">
        <v>1</v>
      </c>
      <c r="C19" s="17">
        <v>1</v>
      </c>
      <c r="D19" s="16">
        <v>0</v>
      </c>
      <c r="E19" s="16">
        <v>0</v>
      </c>
      <c r="F19" s="17">
        <v>1</v>
      </c>
      <c r="G19" s="17">
        <v>1</v>
      </c>
      <c r="H19" s="17">
        <v>1</v>
      </c>
      <c r="I19" s="17">
        <v>1</v>
      </c>
      <c r="J19" s="17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>
        <v>1</v>
      </c>
    </row>
    <row r="20" spans="1:20" x14ac:dyDescent="0.2">
      <c r="A20" s="15" t="s">
        <v>54</v>
      </c>
      <c r="B20" s="17">
        <v>1</v>
      </c>
      <c r="C20" s="17">
        <v>1</v>
      </c>
      <c r="D20" s="16">
        <v>0</v>
      </c>
      <c r="E20" s="16">
        <v>0</v>
      </c>
      <c r="F20" s="17">
        <v>1</v>
      </c>
      <c r="G20" s="17">
        <v>1</v>
      </c>
      <c r="H20" s="17">
        <v>1</v>
      </c>
      <c r="I20" s="17">
        <v>1</v>
      </c>
      <c r="J20" s="17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E5C-FDDF-C841-996E-8E1D9651D85D}">
  <sheetPr codeName="Sheet3"/>
  <dimension ref="A1:D47"/>
  <sheetViews>
    <sheetView showGridLines="0" workbookViewId="0">
      <pane ySplit="6" topLeftCell="A7" activePane="bottomLeft" state="frozen"/>
      <selection pane="bottomLeft" activeCell="C9" sqref="C9"/>
    </sheetView>
  </sheetViews>
  <sheetFormatPr baseColWidth="10" defaultColWidth="8.83203125" defaultRowHeight="16" x14ac:dyDescent="0.2"/>
  <cols>
    <col min="1" max="1" width="26" style="3" customWidth="1"/>
    <col min="2" max="2" width="34" style="3" customWidth="1"/>
    <col min="3" max="3" width="11" style="3" customWidth="1"/>
    <col min="4" max="4" width="60" style="3" customWidth="1"/>
    <col min="5" max="16384" width="8.83203125" style="3"/>
  </cols>
  <sheetData>
    <row r="1" spans="1:4" x14ac:dyDescent="0.2">
      <c r="A1" s="2" t="s">
        <v>0</v>
      </c>
    </row>
    <row r="2" spans="1:4" x14ac:dyDescent="0.2">
      <c r="A2" s="2" t="s">
        <v>1</v>
      </c>
      <c r="B2" s="4" t="s">
        <v>2</v>
      </c>
    </row>
    <row r="4" spans="1:4" x14ac:dyDescent="0.2">
      <c r="A4" s="5" t="s">
        <v>7</v>
      </c>
    </row>
    <row r="6" spans="1:4" ht="17" x14ac:dyDescent="0.2">
      <c r="A6" s="6" t="s">
        <v>8</v>
      </c>
      <c r="B6" s="6" t="s">
        <v>9</v>
      </c>
      <c r="C6" s="6" t="s">
        <v>10</v>
      </c>
      <c r="D6" s="6" t="s">
        <v>11</v>
      </c>
    </row>
    <row r="7" spans="1:4" ht="34" x14ac:dyDescent="0.2">
      <c r="A7" s="7" t="s">
        <v>12</v>
      </c>
      <c r="B7" s="7" t="s">
        <v>13</v>
      </c>
      <c r="C7" s="8" t="s">
        <v>14</v>
      </c>
      <c r="D7" s="7" t="s">
        <v>15</v>
      </c>
    </row>
    <row r="8" spans="1:4" ht="34" x14ac:dyDescent="0.2">
      <c r="A8" s="7" t="s">
        <v>12</v>
      </c>
      <c r="B8" s="7" t="s">
        <v>16</v>
      </c>
      <c r="C8" s="8" t="s">
        <v>14</v>
      </c>
      <c r="D8" s="7" t="s">
        <v>17</v>
      </c>
    </row>
    <row r="9" spans="1:4" ht="34" x14ac:dyDescent="0.2">
      <c r="A9" s="7" t="s">
        <v>12</v>
      </c>
      <c r="B9" s="7" t="s">
        <v>18</v>
      </c>
      <c r="C9" s="8" t="s">
        <v>14</v>
      </c>
      <c r="D9" s="7" t="s">
        <v>19</v>
      </c>
    </row>
    <row r="10" spans="1:4" ht="34" x14ac:dyDescent="0.2">
      <c r="A10" s="7" t="s">
        <v>12</v>
      </c>
      <c r="B10" s="7" t="s">
        <v>20</v>
      </c>
      <c r="C10" s="8" t="s">
        <v>14</v>
      </c>
      <c r="D10" s="7" t="s">
        <v>21</v>
      </c>
    </row>
    <row r="11" spans="1:4" ht="34" x14ac:dyDescent="0.2">
      <c r="A11" s="7" t="s">
        <v>12</v>
      </c>
      <c r="B11" s="7" t="s">
        <v>22</v>
      </c>
      <c r="C11" s="8" t="s">
        <v>14</v>
      </c>
      <c r="D11" s="7" t="s">
        <v>23</v>
      </c>
    </row>
    <row r="12" spans="1:4" ht="34" x14ac:dyDescent="0.2">
      <c r="A12" s="7" t="s">
        <v>24</v>
      </c>
      <c r="B12" s="7" t="s">
        <v>25</v>
      </c>
      <c r="C12" s="8" t="s">
        <v>14</v>
      </c>
      <c r="D12" s="7" t="s">
        <v>26</v>
      </c>
    </row>
    <row r="13" spans="1:4" ht="34" x14ac:dyDescent="0.2">
      <c r="A13" s="7" t="s">
        <v>24</v>
      </c>
      <c r="B13" s="7" t="s">
        <v>27</v>
      </c>
      <c r="C13" s="8" t="s">
        <v>14</v>
      </c>
      <c r="D13" s="7" t="s">
        <v>28</v>
      </c>
    </row>
    <row r="14" spans="1:4" ht="34" x14ac:dyDescent="0.2">
      <c r="A14" s="7" t="s">
        <v>24</v>
      </c>
      <c r="B14" s="7" t="s">
        <v>29</v>
      </c>
      <c r="C14" s="8" t="s">
        <v>14</v>
      </c>
      <c r="D14" s="7" t="s">
        <v>30</v>
      </c>
    </row>
    <row r="15" spans="1:4" ht="34" x14ac:dyDescent="0.2">
      <c r="A15" s="7" t="s">
        <v>24</v>
      </c>
      <c r="B15" s="7" t="s">
        <v>31</v>
      </c>
      <c r="C15" s="8" t="s">
        <v>14</v>
      </c>
      <c r="D15" s="7" t="s">
        <v>32</v>
      </c>
    </row>
    <row r="16" spans="1:4" ht="34" x14ac:dyDescent="0.2">
      <c r="A16" s="7" t="s">
        <v>24</v>
      </c>
      <c r="B16" s="7" t="s">
        <v>33</v>
      </c>
      <c r="C16" s="8" t="s">
        <v>14</v>
      </c>
      <c r="D16" s="7" t="s">
        <v>34</v>
      </c>
    </row>
    <row r="17" spans="1:4" ht="17" x14ac:dyDescent="0.2">
      <c r="A17" s="7" t="s">
        <v>24</v>
      </c>
      <c r="B17" s="7" t="s">
        <v>35</v>
      </c>
      <c r="C17" s="8" t="s">
        <v>14</v>
      </c>
      <c r="D17" s="7" t="s">
        <v>36</v>
      </c>
    </row>
    <row r="18" spans="1:4" ht="17" x14ac:dyDescent="0.2">
      <c r="A18" s="7" t="s">
        <v>37</v>
      </c>
      <c r="B18" s="7" t="s">
        <v>38</v>
      </c>
      <c r="C18" s="8" t="s">
        <v>14</v>
      </c>
      <c r="D18" s="7" t="s">
        <v>39</v>
      </c>
    </row>
    <row r="19" spans="1:4" ht="17" x14ac:dyDescent="0.2">
      <c r="A19" s="7" t="s">
        <v>37</v>
      </c>
      <c r="B19" s="7" t="s">
        <v>40</v>
      </c>
      <c r="C19" s="8" t="s">
        <v>14</v>
      </c>
      <c r="D19" s="7" t="s">
        <v>41</v>
      </c>
    </row>
    <row r="20" spans="1:4" ht="34" x14ac:dyDescent="0.2">
      <c r="A20" s="7" t="s">
        <v>37</v>
      </c>
      <c r="B20" s="7" t="s">
        <v>42</v>
      </c>
      <c r="C20" s="8" t="s">
        <v>14</v>
      </c>
      <c r="D20" s="7" t="s">
        <v>43</v>
      </c>
    </row>
    <row r="21" spans="1:4" ht="17" x14ac:dyDescent="0.2">
      <c r="A21" s="7" t="s">
        <v>44</v>
      </c>
      <c r="B21" s="7" t="s">
        <v>45</v>
      </c>
      <c r="C21" s="8" t="s">
        <v>14</v>
      </c>
      <c r="D21" s="7" t="s">
        <v>46</v>
      </c>
    </row>
    <row r="22" spans="1:4" ht="34" x14ac:dyDescent="0.2">
      <c r="A22" s="7" t="s">
        <v>44</v>
      </c>
      <c r="B22" s="7" t="s">
        <v>47</v>
      </c>
      <c r="C22" s="8" t="s">
        <v>14</v>
      </c>
      <c r="D22" s="7" t="s">
        <v>48</v>
      </c>
    </row>
    <row r="23" spans="1:4" ht="17" x14ac:dyDescent="0.2">
      <c r="A23" s="7" t="s">
        <v>44</v>
      </c>
      <c r="B23" s="7" t="s">
        <v>49</v>
      </c>
      <c r="C23" s="8" t="s">
        <v>14</v>
      </c>
      <c r="D23" s="7" t="s">
        <v>50</v>
      </c>
    </row>
    <row r="24" spans="1:4" ht="34" x14ac:dyDescent="0.2">
      <c r="A24" s="7" t="s">
        <v>51</v>
      </c>
      <c r="B24" s="7" t="s">
        <v>52</v>
      </c>
      <c r="C24" s="8" t="s">
        <v>14</v>
      </c>
      <c r="D24" s="7" t="s">
        <v>53</v>
      </c>
    </row>
    <row r="25" spans="1:4" ht="34" x14ac:dyDescent="0.2">
      <c r="A25" s="7" t="s">
        <v>51</v>
      </c>
      <c r="B25" s="7" t="s">
        <v>54</v>
      </c>
      <c r="C25" s="8" t="s">
        <v>14</v>
      </c>
      <c r="D25" s="7" t="s">
        <v>55</v>
      </c>
    </row>
    <row r="27" spans="1:4" x14ac:dyDescent="0.2">
      <c r="A27" s="9" t="s">
        <v>76</v>
      </c>
    </row>
    <row r="28" spans="1:4" x14ac:dyDescent="0.2">
      <c r="A28" s="10" t="s">
        <v>77</v>
      </c>
      <c r="B28" s="10" t="s">
        <v>78</v>
      </c>
    </row>
    <row r="29" spans="1:4" x14ac:dyDescent="0.2">
      <c r="A29" s="11" t="s">
        <v>57</v>
      </c>
      <c r="B29" s="12" t="str">
        <f t="shared" ref="B29:B47" si="0">IF(SUMPRODUCT(INDEX(SubcatMatrix,0,MATCH($A29,MetricList,0)),--($C$7:$C$25="Yes"))&gt;0,"Yes","No")</f>
        <v>No</v>
      </c>
    </row>
    <row r="30" spans="1:4" x14ac:dyDescent="0.2">
      <c r="A30" s="11" t="s">
        <v>58</v>
      </c>
      <c r="B30" s="12" t="str">
        <f t="shared" si="0"/>
        <v>No</v>
      </c>
    </row>
    <row r="31" spans="1:4" x14ac:dyDescent="0.2">
      <c r="A31" s="11" t="s">
        <v>59</v>
      </c>
      <c r="B31" s="12" t="str">
        <f t="shared" si="0"/>
        <v>No</v>
      </c>
    </row>
    <row r="32" spans="1:4" x14ac:dyDescent="0.2">
      <c r="A32" s="11" t="s">
        <v>60</v>
      </c>
      <c r="B32" s="12" t="str">
        <f t="shared" si="0"/>
        <v>No</v>
      </c>
    </row>
    <row r="33" spans="1:2" x14ac:dyDescent="0.2">
      <c r="A33" s="11" t="s">
        <v>61</v>
      </c>
      <c r="B33" s="12" t="str">
        <f t="shared" si="0"/>
        <v>No</v>
      </c>
    </row>
    <row r="34" spans="1:2" x14ac:dyDescent="0.2">
      <c r="A34" s="11" t="s">
        <v>62</v>
      </c>
      <c r="B34" s="12" t="str">
        <f t="shared" si="0"/>
        <v>No</v>
      </c>
    </row>
    <row r="35" spans="1:2" x14ac:dyDescent="0.2">
      <c r="A35" s="11" t="s">
        <v>63</v>
      </c>
      <c r="B35" s="12" t="str">
        <f t="shared" si="0"/>
        <v>No</v>
      </c>
    </row>
    <row r="36" spans="1:2" x14ac:dyDescent="0.2">
      <c r="A36" s="11" t="s">
        <v>64</v>
      </c>
      <c r="B36" s="12" t="str">
        <f t="shared" si="0"/>
        <v>No</v>
      </c>
    </row>
    <row r="37" spans="1:2" x14ac:dyDescent="0.2">
      <c r="A37" s="11" t="s">
        <v>65</v>
      </c>
      <c r="B37" s="12" t="str">
        <f t="shared" si="0"/>
        <v>No</v>
      </c>
    </row>
    <row r="38" spans="1:2" x14ac:dyDescent="0.2">
      <c r="A38" s="11" t="s">
        <v>66</v>
      </c>
      <c r="B38" s="12" t="str">
        <f t="shared" si="0"/>
        <v>No</v>
      </c>
    </row>
    <row r="39" spans="1:2" x14ac:dyDescent="0.2">
      <c r="A39" s="11" t="s">
        <v>67</v>
      </c>
      <c r="B39" s="12" t="str">
        <f t="shared" si="0"/>
        <v>No</v>
      </c>
    </row>
    <row r="40" spans="1:2" x14ac:dyDescent="0.2">
      <c r="A40" s="11" t="s">
        <v>68</v>
      </c>
      <c r="B40" s="12" t="str">
        <f t="shared" si="0"/>
        <v>No</v>
      </c>
    </row>
    <row r="41" spans="1:2" x14ac:dyDescent="0.2">
      <c r="A41" s="11" t="s">
        <v>69</v>
      </c>
      <c r="B41" s="12" t="str">
        <f t="shared" si="0"/>
        <v>No</v>
      </c>
    </row>
    <row r="42" spans="1:2" x14ac:dyDescent="0.2">
      <c r="A42" s="11" t="s">
        <v>70</v>
      </c>
      <c r="B42" s="12" t="str">
        <f t="shared" si="0"/>
        <v>No</v>
      </c>
    </row>
    <row r="43" spans="1:2" x14ac:dyDescent="0.2">
      <c r="A43" s="11" t="s">
        <v>71</v>
      </c>
      <c r="B43" s="12" t="str">
        <f t="shared" si="0"/>
        <v>No</v>
      </c>
    </row>
    <row r="44" spans="1:2" x14ac:dyDescent="0.2">
      <c r="A44" s="11" t="s">
        <v>72</v>
      </c>
      <c r="B44" s="12" t="str">
        <f t="shared" si="0"/>
        <v>No</v>
      </c>
    </row>
    <row r="45" spans="1:2" x14ac:dyDescent="0.2">
      <c r="A45" s="11" t="s">
        <v>73</v>
      </c>
      <c r="B45" s="12" t="str">
        <f t="shared" si="0"/>
        <v>No</v>
      </c>
    </row>
    <row r="46" spans="1:2" x14ac:dyDescent="0.2">
      <c r="A46" s="11" t="s">
        <v>74</v>
      </c>
      <c r="B46" s="12" t="str">
        <f t="shared" si="0"/>
        <v>No</v>
      </c>
    </row>
    <row r="47" spans="1:2" x14ac:dyDescent="0.2">
      <c r="A47" s="11" t="s">
        <v>75</v>
      </c>
      <c r="B47" s="12" t="str">
        <f t="shared" si="0"/>
        <v>No</v>
      </c>
    </row>
  </sheetData>
  <conditionalFormatting sqref="B29:B47">
    <cfRule type="expression" dxfId="0" priority="1">
      <formula>$B29="Yes"</formula>
    </cfRule>
  </conditionalFormatting>
  <dataValidations count="2">
    <dataValidation type="list" sqref="C7:C25" xr:uid="{3F866EAE-93F5-1B4A-8261-DE5718AA3F65}">
      <formula1>"Yes,No"</formula1>
    </dataValidation>
    <dataValidation type="list" sqref="B2" xr:uid="{7D248880-E536-9540-8DD3-3699F4A98AB1}">
      <formula1>"RHEL,Ubuntu,Windows"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Assets</vt:lpstr>
      <vt:lpstr>Reference</vt:lpstr>
      <vt:lpstr>Template</vt:lpstr>
      <vt:lpstr>MetricList</vt:lpstr>
      <vt:lpstr>SubcatMatrix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Kondapalli, Vijay</dc:creator>
  <cp:lastModifiedBy>Kondapalli, Vijay</cp:lastModifiedBy>
  <dcterms:created xsi:type="dcterms:W3CDTF">2026-06-07T06:14:23Z</dcterms:created>
  <dcterms:modified xsi:type="dcterms:W3CDTF">2026-06-10T02:21:08Z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979fc8-5559-4f19-93ee-e28ca03d7638_Enabled">
    <vt:lpwstr>true</vt:lpwstr>
  </property>
  <property fmtid="{D5CDD505-2E9C-101B-9397-08002B2CF9AE}" pid="3" name="MSIP_Label_d0979fc8-5559-4f19-93ee-e28ca03d7638_SetDate">
    <vt:lpwstr>2026-06-07T06:16:58Z</vt:lpwstr>
  </property>
  <property fmtid="{D5CDD505-2E9C-101B-9397-08002B2CF9AE}" pid="4" name="MSIP_Label_d0979fc8-5559-4f19-93ee-e28ca03d7638_Method">
    <vt:lpwstr>Privileged</vt:lpwstr>
  </property>
  <property fmtid="{D5CDD505-2E9C-101B-9397-08002B2CF9AE}" pid="5" name="MSIP_Label_d0979fc8-5559-4f19-93ee-e28ca03d7638_Name">
    <vt:lpwstr>General Business Information (G)</vt:lpwstr>
  </property>
  <property fmtid="{D5CDD505-2E9C-101B-9397-08002B2CF9AE}" pid="6" name="MSIP_Label_d0979fc8-5559-4f19-93ee-e28ca03d7638_SiteId">
    <vt:lpwstr>906aefe9-76a7-4f65-b82d-5ec20775d5aa</vt:lpwstr>
  </property>
  <property fmtid="{D5CDD505-2E9C-101B-9397-08002B2CF9AE}" pid="7" name="MSIP_Label_d0979fc8-5559-4f19-93ee-e28ca03d7638_ActionId">
    <vt:lpwstr>f3340768-bfa3-4858-bb0b-1ed1403de40c</vt:lpwstr>
  </property>
  <property fmtid="{D5CDD505-2E9C-101B-9397-08002B2CF9AE}" pid="8" name="MSIP_Label_d0979fc8-5559-4f19-93ee-e28ca03d7638_ContentBits">
    <vt:lpwstr>0</vt:lpwstr>
  </property>
  <property fmtid="{D5CDD505-2E9C-101B-9397-08002B2CF9AE}" pid="9" name="MSIP_Label_d0979fc8-5559-4f19-93ee-e28ca03d7638_Tag">
    <vt:lpwstr>50, 0, 1, 1</vt:lpwstr>
  </property>
</Properties>
</file>