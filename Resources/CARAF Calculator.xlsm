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trima005@cable.comcast.com/Downloads/"/>
    </mc:Choice>
  </mc:AlternateContent>
  <xr:revisionPtr revIDLastSave="0" documentId="8_{81CE7694-701B-084B-8E32-1E8D87C37E11}" xr6:coauthVersionLast="47" xr6:coauthVersionMax="47" xr10:uidLastSave="{00000000-0000-0000-0000-000000000000}"/>
  <bookViews>
    <workbookView xWindow="2880" yWindow="2100" windowWidth="29400" windowHeight="18780" xr2:uid="{00000000-000D-0000-FFFF-FFFF00000000}"/>
  </bookViews>
  <sheets>
    <sheet name="List of Assets" sheetId="26" r:id="rId1"/>
    <sheet name="Template" sheetId="25" r:id="rId2"/>
  </sheets>
  <definedNames>
    <definedName name="_xleta.NOW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25" l="1"/>
  <c r="D30" i="25" s="1"/>
  <c r="E30" i="25" s="1"/>
  <c r="D28" i="25"/>
  <c r="D27" i="25"/>
  <c r="E20" i="25"/>
  <c r="E19" i="25"/>
  <c r="E18" i="25"/>
  <c r="E17" i="25"/>
  <c r="E16" i="25"/>
  <c r="E15" i="25"/>
  <c r="E13" i="25"/>
  <c r="E12" i="25"/>
  <c r="E11" i="25"/>
  <c r="E10" i="25"/>
  <c r="E9" i="25"/>
  <c r="C2" i="25" a="1"/>
  <c r="C2" i="25" s="1"/>
  <c r="E37" i="25" l="1"/>
  <c r="E39" i="25" s="1"/>
  <c r="E22" i="25"/>
  <c r="E23" i="2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<sst xmlns="http://schemas.openxmlformats.org/spreadsheetml/2006/main" count="49" uniqueCount="44">
  <si>
    <t>Crypto Agility</t>
  </si>
  <si>
    <t>Informational</t>
  </si>
  <si>
    <t>Category</t>
  </si>
  <si>
    <t>Question</t>
  </si>
  <si>
    <t>Answer</t>
  </si>
  <si>
    <t>What is the lifespan of the asset (in years)?</t>
  </si>
  <si>
    <t>What is the time needed to migrate the asset (in years)?</t>
  </si>
  <si>
    <t>Required</t>
  </si>
  <si>
    <t>Is it owned by a third party?</t>
  </si>
  <si>
    <t>Is it configured/managed by a third party?</t>
  </si>
  <si>
    <t>Are there dependencies that also need to be updated in case of crypto migration?</t>
  </si>
  <si>
    <t>Does implementation of it include hardware components (e.g., HSM, ASIC, FPGA, hardware accelerators, etc.)?</t>
  </si>
  <si>
    <t>Does updating the crypto require changes to the asset?</t>
  </si>
  <si>
    <t>Good-to-have</t>
  </si>
  <si>
    <t>Does it use certificates with lifespan beyond 2035?</t>
  </si>
  <si>
    <t>Does it store secret keys?</t>
  </si>
  <si>
    <t>Does it contain encrypted data with lifespan beyond 2035?</t>
  </si>
  <si>
    <t>Is it capable of remote updates?</t>
  </si>
  <si>
    <t>Are there PQC implementations, tools, or services available to help with the migration?</t>
  </si>
  <si>
    <t>Is the asset capable of supporting the PQC key sizes and message sizes?</t>
  </si>
  <si>
    <t>Yes</t>
  </si>
  <si>
    <t>No</t>
  </si>
  <si>
    <t>Options</t>
  </si>
  <si>
    <t>Score</t>
  </si>
  <si>
    <t>Total</t>
  </si>
  <si>
    <t>Phase</t>
  </si>
  <si>
    <t>Will performance overhead be critical to the function of the asset?</t>
  </si>
  <si>
    <t>Time to exposure</t>
  </si>
  <si>
    <r>
      <t>Lifespan of the asset (</t>
    </r>
    <r>
      <rPr>
        <i/>
        <sz val="11"/>
        <color theme="1"/>
        <rFont val="Aptos Narrow"/>
        <scheme val="minor"/>
      </rPr>
      <t>X</t>
    </r>
    <r>
      <rPr>
        <sz val="11"/>
        <color theme="1"/>
        <rFont val="Aptos Narrow"/>
        <family val="2"/>
        <scheme val="minor"/>
      </rPr>
      <t>)</t>
    </r>
  </si>
  <si>
    <r>
      <t>Time needed for migration (</t>
    </r>
    <r>
      <rPr>
        <i/>
        <sz val="11"/>
        <color theme="1"/>
        <rFont val="Aptos Narrow"/>
        <scheme val="minor"/>
      </rPr>
      <t>Y</t>
    </r>
    <r>
      <rPr>
        <sz val="11"/>
        <color theme="1"/>
        <rFont val="Aptos Narrow"/>
        <family val="2"/>
        <scheme val="minor"/>
      </rPr>
      <t>)</t>
    </r>
  </si>
  <si>
    <r>
      <t>Time before threat results in a compromise (</t>
    </r>
    <r>
      <rPr>
        <i/>
        <sz val="11"/>
        <color theme="1"/>
        <rFont val="Aptos Narrow"/>
        <scheme val="minor"/>
      </rPr>
      <t>Z</t>
    </r>
    <r>
      <rPr>
        <sz val="11"/>
        <color theme="1"/>
        <rFont val="Aptos Narrow"/>
        <family val="2"/>
        <scheme val="minor"/>
      </rPr>
      <t>)</t>
    </r>
  </si>
  <si>
    <t>Z - (X + Y)</t>
  </si>
  <si>
    <t>Cost to migrate</t>
  </si>
  <si>
    <t>Will there be a significant cost for updating to the new algorithms each time?</t>
  </si>
  <si>
    <t>Is decrypt then re-encrypt of the asset needed (e.g., long-lived data)?</t>
  </si>
  <si>
    <t>Will there be a cost to migrate to PQC (as in additional internal resources dedicated to migration or negotiation with new vendors)?</t>
  </si>
  <si>
    <t>Risk Estimate</t>
  </si>
  <si>
    <t>Asset Name</t>
  </si>
  <si>
    <t>Recommendation</t>
  </si>
  <si>
    <t>Asset 1</t>
  </si>
  <si>
    <t>Asset 2</t>
  </si>
  <si>
    <t>Asset 3</t>
  </si>
  <si>
    <t>1 - Crypto Agility Measurement</t>
  </si>
  <si>
    <t>2 - Risk Estimation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</si>
</sst>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i/>
      <sz val="11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 wrapText="1"/>
    </xf>
    <xf numFmtId="0" fontId="1" fillId="0" borderId="0" xfId="0" applyFont="1" applyAlignment="1">
      <alignment vertical="top" wrapText="1"/>
    </xf>
    <xf numFmtId="0" fontId="2" fillId="0" borderId="0" xfId="0" quotePrefix="1" applyFont="1" applyAlignment="1">
      <alignment vertical="top" wrapText="1"/>
    </xf>
    <xf numFmtId="0" fontId="1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4" borderId="0" xfId="0" applyFill="1"/>
  </cellXfs>
  <cellStyles count="1">
    <cellStyle name="Normal" xfId="0" builtinId="0"/>
  </cellStyles>
  <dxfs count="3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24BC-4D91-4B47-B383-0EDC490FA29B}">
  <sheetPr codeName="Sheet1"/>
  <dimension ref="A1:A4"/>
  <sheetViews>
    <sheetView tabSelected="1" zoomScale="130" zoomScaleNormal="130" workbookViewId="0">
      <selection activeCell="C16" sqref="C16"/>
    </sheetView>
  </sheetViews>
  <sheetFormatPr baseColWidth="10" defaultRowHeight="15" x14ac:dyDescent="0.2"/>
  <cols>
    <col min="1" max="1" width="10.33203125" bestFit="1" customWidth="1"/>
  </cols>
  <sheetData>
    <row r="1" spans="1:1" x14ac:dyDescent="0.2">
      <c r="A1" s="1" t="s">
        <v>37</v>
      </c>
    </row>
    <row r="2" spans="1:1" x14ac:dyDescent="0.2">
      <c r="A2" t="s">
        <v>39</v>
      </c>
    </row>
    <row r="3" spans="1:1" x14ac:dyDescent="0.2">
      <c r="A3" t="s">
        <v>40</v>
      </c>
    </row>
    <row r="4" spans="1:1" x14ac:dyDescent="0.2">
      <c r="A4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3A084-9B8C-F741-BDE5-49431383B265}">
  <sheetPr codeName="Sheet5"/>
  <dimension ref="B2:H41"/>
  <sheetViews>
    <sheetView zoomScale="130" zoomScaleNormal="130" workbookViewId="0">
      <selection activeCell="C6" sqref="C6:C20"/>
    </sheetView>
  </sheetViews>
  <sheetFormatPr baseColWidth="10" defaultColWidth="11.5" defaultRowHeight="15" x14ac:dyDescent="0.2"/>
  <cols>
    <col min="2" max="2" width="13.5" bestFit="1" customWidth="1"/>
    <col min="3" max="3" width="99.33203125" style="4" customWidth="1"/>
    <col min="4" max="4" width="14.33203125" bestFit="1" customWidth="1"/>
    <col min="5" max="5" width="11.6640625" customWidth="1"/>
  </cols>
  <sheetData>
    <row r="2" spans="2:8" x14ac:dyDescent="0.2">
      <c r="B2" s="8" t="s">
        <v>37</v>
      </c>
      <c r="C2" s="8" t="str" cm="1">
        <f t="array" aca="1" ref="C2" ca="1">MID(CELL("filename", A2), FIND("]", CELL("filename", A2)) + 1, 255)</f>
        <v>Template</v>
      </c>
    </row>
    <row r="4" spans="2:8" ht="16" x14ac:dyDescent="0.2">
      <c r="B4" s="2" t="s">
        <v>25</v>
      </c>
      <c r="C4" s="5" t="s">
        <v>42</v>
      </c>
      <c r="G4" s="1" t="s">
        <v>22</v>
      </c>
      <c r="H4" s="1"/>
    </row>
    <row r="5" spans="2:8" ht="16" x14ac:dyDescent="0.2">
      <c r="B5" s="1" t="s">
        <v>2</v>
      </c>
      <c r="C5" s="6" t="s">
        <v>3</v>
      </c>
      <c r="D5" s="1" t="s">
        <v>4</v>
      </c>
      <c r="E5" s="1" t="s">
        <v>23</v>
      </c>
      <c r="G5" t="s">
        <v>20</v>
      </c>
    </row>
    <row r="6" spans="2:8" ht="16" x14ac:dyDescent="0.2">
      <c r="B6" t="s">
        <v>1</v>
      </c>
      <c r="C6" s="4" t="s">
        <v>5</v>
      </c>
      <c r="D6" s="11"/>
      <c r="G6" t="s">
        <v>21</v>
      </c>
    </row>
    <row r="7" spans="2:8" ht="16" x14ac:dyDescent="0.2">
      <c r="C7" s="4" t="s">
        <v>6</v>
      </c>
      <c r="D7" s="11"/>
    </row>
    <row r="9" spans="2:8" ht="16" x14ac:dyDescent="0.2">
      <c r="B9" t="s">
        <v>7</v>
      </c>
      <c r="C9" s="4" t="s">
        <v>8</v>
      </c>
      <c r="D9" s="11"/>
      <c r="E9">
        <f>IF(D9="No", 1, 0)</f>
        <v>0</v>
      </c>
    </row>
    <row r="10" spans="2:8" ht="16" x14ac:dyDescent="0.2">
      <c r="C10" s="4" t="s">
        <v>9</v>
      </c>
      <c r="D10" s="11"/>
      <c r="E10">
        <f>IF(D10="No", 1, 0)</f>
        <v>0</v>
      </c>
    </row>
    <row r="11" spans="2:8" ht="16" x14ac:dyDescent="0.2">
      <c r="C11" s="4" t="s">
        <v>10</v>
      </c>
      <c r="D11" s="11"/>
      <c r="E11">
        <f>IF(D11="No", 1, 0)</f>
        <v>0</v>
      </c>
    </row>
    <row r="12" spans="2:8" ht="16" x14ac:dyDescent="0.2">
      <c r="C12" s="4" t="s">
        <v>11</v>
      </c>
      <c r="D12" s="11"/>
      <c r="E12">
        <f>IF(D12="No", 1, 0)</f>
        <v>0</v>
      </c>
    </row>
    <row r="13" spans="2:8" ht="16" x14ac:dyDescent="0.2">
      <c r="B13" s="1"/>
      <c r="C13" s="4" t="s">
        <v>12</v>
      </c>
      <c r="D13" s="11"/>
      <c r="E13">
        <f>IF(D13="No", 1, 0)</f>
        <v>0</v>
      </c>
    </row>
    <row r="15" spans="2:8" ht="16" x14ac:dyDescent="0.2">
      <c r="B15" t="s">
        <v>13</v>
      </c>
      <c r="C15" s="4" t="s">
        <v>14</v>
      </c>
      <c r="D15" s="11"/>
      <c r="E15">
        <f>IF(D15="No", 1, 0)</f>
        <v>0</v>
      </c>
    </row>
    <row r="16" spans="2:8" ht="16" x14ac:dyDescent="0.2">
      <c r="C16" s="4" t="s">
        <v>15</v>
      </c>
      <c r="D16" s="11"/>
      <c r="E16">
        <f>IF(D16="No", 1, 0)</f>
        <v>0</v>
      </c>
    </row>
    <row r="17" spans="2:6" ht="16" x14ac:dyDescent="0.2">
      <c r="C17" s="4" t="s">
        <v>16</v>
      </c>
      <c r="D17" s="11"/>
      <c r="E17">
        <f>IF(D17="No", 1, 0)</f>
        <v>0</v>
      </c>
    </row>
    <row r="18" spans="2:6" ht="16" x14ac:dyDescent="0.2">
      <c r="C18" s="4" t="s">
        <v>17</v>
      </c>
      <c r="D18" s="11"/>
      <c r="E18">
        <f t="shared" ref="E18:E20" si="0">IF(D18="Yes", 1, 0)</f>
        <v>0</v>
      </c>
    </row>
    <row r="19" spans="2:6" ht="16" x14ac:dyDescent="0.2">
      <c r="C19" s="4" t="s">
        <v>18</v>
      </c>
      <c r="D19" s="11"/>
      <c r="E19">
        <f t="shared" si="0"/>
        <v>0</v>
      </c>
    </row>
    <row r="20" spans="2:6" ht="16" x14ac:dyDescent="0.2">
      <c r="C20" s="4" t="s">
        <v>19</v>
      </c>
      <c r="D20" s="11"/>
      <c r="E20">
        <f t="shared" si="0"/>
        <v>0</v>
      </c>
    </row>
    <row r="22" spans="2:6" x14ac:dyDescent="0.2">
      <c r="D22" s="1" t="s">
        <v>24</v>
      </c>
      <c r="E22">
        <f>SUM(E9:E20)</f>
        <v>0</v>
      </c>
    </row>
    <row r="23" spans="2:6" x14ac:dyDescent="0.2">
      <c r="D23" s="8" t="s">
        <v>0</v>
      </c>
      <c r="E23" s="9" t="str">
        <f>IF($E$22&lt;=5, "LOW", IF($E$22&lt;=11, "HIGH", ""))</f>
        <v>LOW</v>
      </c>
    </row>
    <row r="25" spans="2:6" ht="16" x14ac:dyDescent="0.2">
      <c r="B25" s="2" t="s">
        <v>25</v>
      </c>
      <c r="C25" s="5" t="s">
        <v>43</v>
      </c>
    </row>
    <row r="26" spans="2:6" ht="16" x14ac:dyDescent="0.2">
      <c r="B26" s="1" t="s">
        <v>2</v>
      </c>
      <c r="C26" s="6" t="s">
        <v>3</v>
      </c>
      <c r="D26" s="1" t="s">
        <v>4</v>
      </c>
      <c r="E26" s="1"/>
    </row>
    <row r="27" spans="2:6" ht="16" x14ac:dyDescent="0.2">
      <c r="B27" t="s">
        <v>27</v>
      </c>
      <c r="C27" s="4" t="s">
        <v>28</v>
      </c>
      <c r="D27" s="11">
        <f>$D$6</f>
        <v>0</v>
      </c>
    </row>
    <row r="28" spans="2:6" ht="16" x14ac:dyDescent="0.2">
      <c r="C28" s="4" t="s">
        <v>29</v>
      </c>
      <c r="D28" s="11">
        <f>$D$7</f>
        <v>0</v>
      </c>
    </row>
    <row r="29" spans="2:6" ht="16" x14ac:dyDescent="0.2">
      <c r="C29" s="4" t="s">
        <v>30</v>
      </c>
      <c r="D29" s="11">
        <f ca="1">2035-YEAR(TODAY())</f>
        <v>10</v>
      </c>
      <c r="F29" s="3"/>
    </row>
    <row r="30" spans="2:6" ht="16" x14ac:dyDescent="0.2">
      <c r="C30" s="7" t="s">
        <v>31</v>
      </c>
      <c r="D30">
        <f ca="1">$D$29-($D$27+$D$28)</f>
        <v>10</v>
      </c>
      <c r="E30" s="10" t="str">
        <f ca="1">IF($D$30&lt;0, "VULNERABLE", IF($D$30&gt;=0, "PHASE OUT", ""))</f>
        <v>PHASE OUT</v>
      </c>
    </row>
    <row r="32" spans="2:6" ht="16" x14ac:dyDescent="0.2">
      <c r="B32" t="s">
        <v>32</v>
      </c>
      <c r="C32" s="4" t="s">
        <v>26</v>
      </c>
      <c r="D32" s="11"/>
    </row>
    <row r="33" spans="3:5" ht="16" x14ac:dyDescent="0.2">
      <c r="C33" s="4" t="s">
        <v>33</v>
      </c>
      <c r="D33" s="11"/>
    </row>
    <row r="34" spans="3:5" ht="16" x14ac:dyDescent="0.2">
      <c r="C34" s="4" t="s">
        <v>34</v>
      </c>
    </row>
    <row r="35" spans="3:5" ht="16" x14ac:dyDescent="0.2">
      <c r="C35" s="4" t="s">
        <v>35</v>
      </c>
    </row>
    <row r="37" spans="3:5" x14ac:dyDescent="0.2">
      <c r="D37" s="8" t="s">
        <v>36</v>
      </c>
      <c r="E37" s="10" t="str">
        <f ca="1">IF(AND($E$30="VULNERABLE",OR($D$32="Yes", $D$33="Yes")), "HIGH", "LOW")</f>
        <v>LOW</v>
      </c>
    </row>
    <row r="39" spans="3:5" x14ac:dyDescent="0.2">
      <c r="D39" s="8" t="s">
        <v>38</v>
      </c>
      <c r="E39" s="10" t="str">
        <f ca="1">IF($E$37="HIGH", IF($E$23="HIGH", "MIGRATE", "PHASE OUT"), "ACCEPT")</f>
        <v>ACCEPT</v>
      </c>
    </row>
    <row r="41" spans="3:5" x14ac:dyDescent="0.2">
      <c r="E41" s="10"/>
    </row>
  </sheetData>
  <conditionalFormatting sqref="D32">
    <cfRule type="containsText" dxfId="32" priority="48" operator="containsText" text="No">
      <formula>NOT(ISERROR(SEARCH("No",D32)))</formula>
    </cfRule>
    <cfRule type="containsText" dxfId="31" priority="49" operator="containsText" text="Yes">
      <formula>NOT(ISERROR(SEARCH("Yes",D32)))</formula>
    </cfRule>
  </conditionalFormatting>
  <conditionalFormatting sqref="D33">
    <cfRule type="containsText" dxfId="30" priority="46" operator="containsText" text="No">
      <formula>NOT(ISERROR(SEARCH("No",D33)))</formula>
    </cfRule>
    <cfRule type="containsText" dxfId="29" priority="47" operator="containsText" text="Yes">
      <formula>NOT(ISERROR(SEARCH("Yes",D33)))</formula>
    </cfRule>
  </conditionalFormatting>
  <conditionalFormatting sqref="E23">
    <cfRule type="cellIs" dxfId="28" priority="44" operator="equal">
      <formula>"HIGH"</formula>
    </cfRule>
    <cfRule type="cellIs" dxfId="27" priority="45" operator="equal">
      <formula>"LOW"</formula>
    </cfRule>
  </conditionalFormatting>
  <conditionalFormatting sqref="E30">
    <cfRule type="cellIs" dxfId="26" priority="26" operator="equal">
      <formula>"PHASE OUT"</formula>
    </cfRule>
    <cfRule type="cellIs" dxfId="25" priority="27" operator="equal">
      <formula>"VULNERABLE"</formula>
    </cfRule>
  </conditionalFormatting>
  <conditionalFormatting sqref="D32:D33">
    <cfRule type="cellIs" dxfId="24" priority="22" operator="equal">
      <formula>"No"</formula>
    </cfRule>
    <cfRule type="cellIs" dxfId="23" priority="25" operator="equal">
      <formula>"Yes"</formula>
    </cfRule>
  </conditionalFormatting>
  <conditionalFormatting sqref="E37">
    <cfRule type="cellIs" dxfId="22" priority="23" operator="equal">
      <formula>"LOW"</formula>
    </cfRule>
    <cfRule type="cellIs" dxfId="21" priority="24" operator="equal">
      <formula>"HIGH"</formula>
    </cfRule>
  </conditionalFormatting>
  <conditionalFormatting sqref="E39">
    <cfRule type="cellIs" dxfId="20" priority="19" operator="equal">
      <formula>"ACCEPT"</formula>
    </cfRule>
    <cfRule type="cellIs" dxfId="19" priority="20" stopIfTrue="1" operator="equal">
      <formula>"MIGRATE"</formula>
    </cfRule>
    <cfRule type="cellIs" dxfId="18" priority="21" operator="equal">
      <formula>"PHASE OUT"</formula>
    </cfRule>
  </conditionalFormatting>
  <conditionalFormatting sqref="D9:D13">
    <cfRule type="cellIs" dxfId="17" priority="16" operator="equal">
      <formula>"Yes"</formula>
    </cfRule>
    <cfRule type="containsText" dxfId="16" priority="17" operator="containsText" text="No">
      <formula>NOT(ISERROR(SEARCH("No",D9)))</formula>
    </cfRule>
    <cfRule type="containsText" dxfId="15" priority="18" operator="containsText" text="Yes">
      <formula>NOT(ISERROR(SEARCH("Yes",D9)))</formula>
    </cfRule>
  </conditionalFormatting>
  <conditionalFormatting sqref="D15">
    <cfRule type="cellIs" dxfId="14" priority="13" operator="equal">
      <formula>"Yes"</formula>
    </cfRule>
    <cfRule type="containsText" dxfId="13" priority="14" operator="containsText" text="No">
      <formula>NOT(ISERROR(SEARCH("No",D15)))</formula>
    </cfRule>
    <cfRule type="containsText" dxfId="12" priority="15" operator="containsText" text="Yes">
      <formula>NOT(ISERROR(SEARCH("Yes",D15)))</formula>
    </cfRule>
  </conditionalFormatting>
  <conditionalFormatting sqref="D16">
    <cfRule type="cellIs" dxfId="11" priority="10" operator="equal">
      <formula>"Yes"</formula>
    </cfRule>
    <cfRule type="containsText" dxfId="10" priority="11" operator="containsText" text="No">
      <formula>NOT(ISERROR(SEARCH("No",D16)))</formula>
    </cfRule>
    <cfRule type="containsText" dxfId="9" priority="12" operator="containsText" text="Yes">
      <formula>NOT(ISERROR(SEARCH("Yes",D16)))</formula>
    </cfRule>
  </conditionalFormatting>
  <conditionalFormatting sqref="D17">
    <cfRule type="cellIs" dxfId="8" priority="7" operator="equal">
      <formula>"Yes"</formula>
    </cfRule>
    <cfRule type="containsText" dxfId="7" priority="8" operator="containsText" text="No">
      <formula>NOT(ISERROR(SEARCH("No",D17)))</formula>
    </cfRule>
    <cfRule type="containsText" dxfId="6" priority="9" operator="containsText" text="Yes">
      <formula>NOT(ISERROR(SEARCH("Yes",D17)))</formula>
    </cfRule>
  </conditionalFormatting>
  <conditionalFormatting sqref="D18:D20">
    <cfRule type="cellIs" dxfId="5" priority="1" operator="equal">
      <formula>"Yes"</formula>
    </cfRule>
    <cfRule type="cellIs" dxfId="4" priority="3" operator="equal">
      <formula>"No"</formula>
    </cfRule>
    <cfRule type="cellIs" dxfId="3" priority="4" operator="equal">
      <formula>"Yes"</formula>
    </cfRule>
    <cfRule type="containsText" dxfId="2" priority="5" operator="containsText" text="No">
      <formula>NOT(ISERROR(SEARCH("No",D18)))</formula>
    </cfRule>
    <cfRule type="containsText" dxfId="1" priority="6" operator="containsText" text="Yes">
      <formula>NOT(ISERROR(SEARCH("Yes",D18)))</formula>
    </cfRule>
  </conditionalFormatting>
  <conditionalFormatting sqref="D9:D13 D15:D17">
    <cfRule type="cellIs" dxfId="0" priority="2" operator="equal">
      <formula>"No"</formula>
    </cfRule>
  </conditionalFormatting>
  <dataValidations count="1">
    <dataValidation type="list" allowBlank="1" showInputMessage="1" showErrorMessage="1" sqref="D32:D35 D9:D13 D15:D20" xr:uid="{669F68DB-F3D8-254A-B966-AE5C582CC5A3}">
      <formula1>$G$5:$G$6</formula1>
    </dataValidation>
  </dataValidation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List of Assets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Trimananda, Rahmadi</cp:lastModifiedBy>
  <cp:revision/>
  <dcterms:created xsi:type="dcterms:W3CDTF">2025-06-05T15:43:25Z</dcterms:created>
  <dcterms:modified xsi:type="dcterms:W3CDTF">2025-06-27T15:03:05Z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5652fe2-2b59-4d95-925c-ee86d789ff67_Enabled">
    <vt:lpwstr>true</vt:lpwstr>
  </property>
  <property fmtid="{D5CDD505-2E9C-101B-9397-08002B2CF9AE}" pid="3" name="MSIP_Label_15652fe2-2b59-4d95-925c-ee86d789ff67_SetDate">
    <vt:lpwstr>2025-06-05T15:44:15Z</vt:lpwstr>
  </property>
  <property fmtid="{D5CDD505-2E9C-101B-9397-08002B2CF9AE}" pid="4" name="MSIP_Label_15652fe2-2b59-4d95-925c-ee86d789ff67_Method">
    <vt:lpwstr>Privileged</vt:lpwstr>
  </property>
  <property fmtid="{D5CDD505-2E9C-101B-9397-08002B2CF9AE}" pid="5" name="MSIP_Label_15652fe2-2b59-4d95-925c-ee86d789ff67_Name">
    <vt:lpwstr>Confidential (C)</vt:lpwstr>
  </property>
  <property fmtid="{D5CDD505-2E9C-101B-9397-08002B2CF9AE}" pid="6" name="MSIP_Label_15652fe2-2b59-4d95-925c-ee86d789ff67_SiteId">
    <vt:lpwstr>906aefe9-76a7-4f65-b82d-5ec20775d5aa</vt:lpwstr>
  </property>
  <property fmtid="{D5CDD505-2E9C-101B-9397-08002B2CF9AE}" pid="7" name="MSIP_Label_15652fe2-2b59-4d95-925c-ee86d789ff67_ActionId">
    <vt:lpwstr>b471df3f-99c0-4ed4-a212-443c038d96a0</vt:lpwstr>
  </property>
  <property fmtid="{D5CDD505-2E9C-101B-9397-08002B2CF9AE}" pid="8" name="MSIP_Label_15652fe2-2b59-4d95-925c-ee86d789ff67_ContentBits">
    <vt:lpwstr>0</vt:lpwstr>
  </property>
  <property fmtid="{D5CDD505-2E9C-101B-9397-08002B2CF9AE}" pid="9" name="MSIP_Label_15652fe2-2b59-4d95-925c-ee86d789ff67_Tag">
    <vt:lpwstr>50, 0, 1, 1</vt:lpwstr>
  </property>
</Properties>
</file>