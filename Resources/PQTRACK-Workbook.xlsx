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trima005@cable.comcast.com/Documents/Projects/CARAF/"/>
    </mc:Choice>
  </mc:AlternateContent>
  <xr:revisionPtr revIDLastSave="0" documentId="13_ncr:1_{D12FBB9D-D46B-914B-AB57-E2D76FDC6A00}" xr6:coauthVersionLast="47" xr6:coauthVersionMax="47" xr10:uidLastSave="{00000000-0000-0000-0000-000000000000}"/>
  <bookViews>
    <workbookView xWindow="-36620" yWindow="960" windowWidth="26700" windowHeight="19260" xr2:uid="{00000000-000D-0000-FFFF-FFFF00000000}"/>
  </bookViews>
  <sheets>
    <sheet name="In-Depth Risk Assessmen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2" l="1"/>
</calcChain>
</file>

<file path=xl/sharedStrings.xml><?xml version="1.0" encoding="utf-8"?>
<sst xmlns="http://schemas.openxmlformats.org/spreadsheetml/2006/main" count="15" uniqueCount="15">
  <si>
    <t>Requirement</t>
  </si>
  <si>
    <t>Answer</t>
  </si>
  <si>
    <t>Readiness Indication</t>
  </si>
  <si>
    <t>Solution‑Specific</t>
  </si>
  <si>
    <t>Uses TLS 1.3 with PQC support (planned or implemented)</t>
  </si>
  <si>
    <t>Uses NIST FIPS 203 (ML‑KEM) for key exchange</t>
  </si>
  <si>
    <t>Uses NIST FIPS 204, 205, or 206 for signatures</t>
  </si>
  <si>
    <t>Uses NIST FIPS 197 (AES) for encryption</t>
  </si>
  <si>
    <t>Infrastructure-Related</t>
  </si>
  <si>
    <t>Maintains asset inventory to support PQC migration</t>
  </si>
  <si>
    <t>Has internal risk assessment and prioritization processes for PQC migration</t>
  </si>
  <si>
    <t>Has SDLC support for updating cryptographic libraries</t>
  </si>
  <si>
    <t>Has PQC‑ready internal crypto infrastructure (e.g., PKI, HSM)</t>
  </si>
  <si>
    <t>Has updated policies and controls to support PQC migration</t>
  </si>
  <si>
    <t>Has begun deprecating RSA, ECDSA, ECDHE, and other classical algorithms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</si>
</sst>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rgb="FF1F2328"/>
      <name val="Aptos"/>
    </font>
    <font>
      <sz val="14"/>
      <color rgb="FF1F2328"/>
      <name val="Aptos"/>
    </font>
    <font>
      <sz val="16"/>
      <color rgb="FF1F2328"/>
      <name val="Helvetica"/>
      <family val="2"/>
    </font>
    <font>
      <sz val="12"/>
      <color rgb="FF1F2328"/>
      <name val="Aptos"/>
    </font>
    <font>
      <sz val="12"/>
      <color theme="1"/>
      <name val="Aptos"/>
    </font>
    <font>
      <b/>
      <sz val="14"/>
      <color rgb="FF1F2328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vertical="top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1CBE-A7BB-EC44-B1E8-1B77D61CF7B5}">
  <dimension ref="A1:F27"/>
  <sheetViews>
    <sheetView tabSelected="1" zoomScaleNormal="100" workbookViewId="0">
      <selection activeCell="B4" sqref="B4:B11"/>
    </sheetView>
  </sheetViews>
  <sheetFormatPr baseColWidth="10" defaultColWidth="8.83203125" defaultRowHeight="15" x14ac:dyDescent="0.2"/>
  <cols>
    <col min="1" max="1" width="68" bestFit="1" customWidth="1"/>
    <col min="2" max="2" width="15.1640625" customWidth="1"/>
  </cols>
  <sheetData>
    <row r="1" spans="1:2" ht="22" x14ac:dyDescent="0.2">
      <c r="A1" s="9" t="s">
        <v>0</v>
      </c>
      <c r="B1" s="10" t="s">
        <v>1</v>
      </c>
    </row>
    <row r="2" spans="1:2" ht="19" customHeight="1" x14ac:dyDescent="0.2">
      <c r="A2" s="9"/>
      <c r="B2" s="10"/>
    </row>
    <row r="3" spans="1:2" ht="19" x14ac:dyDescent="0.2">
      <c r="A3" s="11" t="s">
        <v>3</v>
      </c>
      <c r="B3" s="8"/>
    </row>
    <row r="4" spans="1:2" ht="16" x14ac:dyDescent="0.2">
      <c r="A4" s="2" t="s">
        <v>4</v>
      </c>
      <c r="B4" s="5"/>
    </row>
    <row r="5" spans="1:2" ht="16" x14ac:dyDescent="0.2">
      <c r="A5" s="2" t="s">
        <v>5</v>
      </c>
      <c r="B5" s="5"/>
    </row>
    <row r="6" spans="1:2" ht="16" x14ac:dyDescent="0.2">
      <c r="A6" s="2" t="s">
        <v>6</v>
      </c>
      <c r="B6" s="5"/>
    </row>
    <row r="7" spans="1:2" ht="16" x14ac:dyDescent="0.2">
      <c r="A7" s="2" t="s">
        <v>7</v>
      </c>
      <c r="B7" s="5"/>
    </row>
    <row r="9" spans="1:2" ht="19" x14ac:dyDescent="0.2">
      <c r="A9" s="11" t="s">
        <v>8</v>
      </c>
    </row>
    <row r="10" spans="1:2" ht="16" x14ac:dyDescent="0.2">
      <c r="A10" s="2" t="s">
        <v>9</v>
      </c>
      <c r="B10" s="5"/>
    </row>
    <row r="11" spans="1:2" ht="16" x14ac:dyDescent="0.2">
      <c r="A11" s="2" t="s">
        <v>10</v>
      </c>
      <c r="B11" s="5"/>
    </row>
    <row r="12" spans="1:2" ht="16" x14ac:dyDescent="0.2">
      <c r="A12" s="2" t="s">
        <v>11</v>
      </c>
      <c r="B12" s="5"/>
    </row>
    <row r="13" spans="1:2" ht="16" x14ac:dyDescent="0.2">
      <c r="A13" s="2" t="s">
        <v>12</v>
      </c>
      <c r="B13" s="5"/>
    </row>
    <row r="14" spans="1:2" ht="16" x14ac:dyDescent="0.2">
      <c r="A14" s="2" t="s">
        <v>13</v>
      </c>
      <c r="B14" s="5"/>
    </row>
    <row r="15" spans="1:2" ht="16" x14ac:dyDescent="0.2">
      <c r="A15" s="2" t="s">
        <v>14</v>
      </c>
      <c r="B15" s="5"/>
    </row>
    <row r="16" spans="1:2" x14ac:dyDescent="0.2">
      <c r="A16" s="3"/>
      <c r="B16" s="6"/>
    </row>
    <row r="17" spans="1:6" ht="16" x14ac:dyDescent="0.2">
      <c r="A17" s="4" t="s">
        <v>2</v>
      </c>
      <c r="B17" s="7" t="str">
        <f>IF(COUNTIF(B4:B15,"Yes")&gt;=6, "Likely", "Unlikely")</f>
        <v>Unlikely</v>
      </c>
    </row>
    <row r="22" spans="1:6" ht="21" x14ac:dyDescent="0.25">
      <c r="E22" s="1"/>
      <c r="F22" s="1"/>
    </row>
    <row r="23" spans="1:6" ht="21" x14ac:dyDescent="0.25">
      <c r="E23" s="1"/>
      <c r="F23" s="1"/>
    </row>
    <row r="24" spans="1:6" ht="21" x14ac:dyDescent="0.25">
      <c r="E24" s="1"/>
      <c r="F24" s="1"/>
    </row>
    <row r="25" spans="1:6" ht="21" x14ac:dyDescent="0.25">
      <c r="E25" s="1"/>
      <c r="F25" s="1"/>
    </row>
    <row r="26" spans="1:6" ht="21" x14ac:dyDescent="0.25">
      <c r="E26" s="1"/>
      <c r="F26" s="1"/>
    </row>
    <row r="27" spans="1:6" ht="21" x14ac:dyDescent="0.25">
      <c r="E27" s="1"/>
      <c r="F27" s="1"/>
    </row>
  </sheetData>
  <conditionalFormatting sqref="B4:B7 B10:B15">
    <cfRule type="containsText" dxfId="3" priority="3" operator="containsText" text="No">
      <formula>NOT(ISERROR(SEARCH("No",B4)))</formula>
    </cfRule>
    <cfRule type="containsText" dxfId="2" priority="4" operator="containsText" text="Yes">
      <formula>NOT(ISERROR(SEARCH("Yes",B4)))</formula>
    </cfRule>
  </conditionalFormatting>
  <conditionalFormatting sqref="B17">
    <cfRule type="containsText" dxfId="1" priority="1" stopIfTrue="1" operator="containsText" text="Unlikely">
      <formula>NOT(ISERROR(SEARCH("Unlikely",B17)))</formula>
    </cfRule>
    <cfRule type="containsText" dxfId="0" priority="2" operator="containsText" text="Likely">
      <formula>NOT(ISERROR(SEARCH("Likely",B17)))</formula>
    </cfRule>
  </conditionalFormatting>
  <dataValidations count="1">
    <dataValidation type="list" allowBlank="1" showInputMessage="1" showErrorMessage="1" sqref="B10:B15 B4:B7" xr:uid="{DB584071-CCE5-C44A-AF76-080CE487BBB9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In-Depth Risk Assessment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Trimananda, Rahmadi</cp:lastModifiedBy>
  <cp:revision/>
  <dcterms:created xsi:type="dcterms:W3CDTF">2026-05-14T19:19:35Z</dcterms:created>
  <dcterms:modified xsi:type="dcterms:W3CDTF">2026-06-02T12:49:00Z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652fe2-2b59-4d95-925c-ee86d789ff67_Enabled">
    <vt:lpwstr>true</vt:lpwstr>
  </property>
  <property fmtid="{D5CDD505-2E9C-101B-9397-08002B2CF9AE}" pid="3" name="MSIP_Label_15652fe2-2b59-4d95-925c-ee86d789ff67_SetDate">
    <vt:lpwstr>2026-05-14T19:19:49Z</vt:lpwstr>
  </property>
  <property fmtid="{D5CDD505-2E9C-101B-9397-08002B2CF9AE}" pid="4" name="MSIP_Label_15652fe2-2b59-4d95-925c-ee86d789ff67_Method">
    <vt:lpwstr>Privileged</vt:lpwstr>
  </property>
  <property fmtid="{D5CDD505-2E9C-101B-9397-08002B2CF9AE}" pid="5" name="MSIP_Label_15652fe2-2b59-4d95-925c-ee86d789ff67_Name">
    <vt:lpwstr>Confidential (C)</vt:lpwstr>
  </property>
  <property fmtid="{D5CDD505-2E9C-101B-9397-08002B2CF9AE}" pid="6" name="MSIP_Label_15652fe2-2b59-4d95-925c-ee86d789ff67_SiteId">
    <vt:lpwstr>906aefe9-76a7-4f65-b82d-5ec20775d5aa</vt:lpwstr>
  </property>
  <property fmtid="{D5CDD505-2E9C-101B-9397-08002B2CF9AE}" pid="7" name="MSIP_Label_15652fe2-2b59-4d95-925c-ee86d789ff67_ActionId">
    <vt:lpwstr>cffaa8b1-8bb3-444d-9607-c488020cbe34</vt:lpwstr>
  </property>
  <property fmtid="{D5CDD505-2E9C-101B-9397-08002B2CF9AE}" pid="8" name="MSIP_Label_15652fe2-2b59-4d95-925c-ee86d789ff67_ContentBits">
    <vt:lpwstr>0</vt:lpwstr>
  </property>
  <property fmtid="{D5CDD505-2E9C-101B-9397-08002B2CF9AE}" pid="9" name="MSIP_Label_15652fe2-2b59-4d95-925c-ee86d789ff67_Tag">
    <vt:lpwstr>10, 0, 1, 2</vt:lpwstr>
  </property>
</Properties>
</file>